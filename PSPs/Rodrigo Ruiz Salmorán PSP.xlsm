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codeName="ThisWorkbook"/>
  <mc:AlternateContent xmlns:mc="http://schemas.openxmlformats.org/markup-compatibility/2006">
    <mc:Choice Requires="x15">
      <x15ac:absPath xmlns:x15ac="http://schemas.microsoft.com/office/spreadsheetml/2010/11/ac" url="C:\Users\yor_2\Documents\Ingenieria de Software\Sexto Semestre\Desarrollo de Software-Limón\Git\PSPs\"/>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<sst xmlns="http://schemas.openxmlformats.org/spreadsheetml/2006/main" count="219" uniqueCount="133">
  <si>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</si>
  <si>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</si>
  <si>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</si>
  <si>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family val="2"/>
      </rPr>
      <t>Summary</t>
    </r>
    <r>
      <rPr>
        <sz val="10"/>
        <rFont val="Arial"/>
        <family val="2"/>
      </rPr>
      <t xml:space="preserve"> - hoja de trabajo en donde deberán planear el tiempo estimado para realizar el proyecto. Registrarán además sus conteos mensuales por fase.</t>
    </r>
  </si>
  <si>
    <r>
      <rPr>
        <b/>
        <sz val="10"/>
        <rFont val="Arial"/>
        <family val="2"/>
      </rPr>
      <t>TimeLog</t>
    </r>
    <r>
      <rPr>
        <sz val="10"/>
        <rFont val="Arial"/>
        <family val="2"/>
      </rPr>
      <t xml:space="preserve"> - una hoja de trabajo para registrar los datos de tiempo.</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</si>
  <si>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</si>
  <si>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</si>
  <si>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</si>
  <si>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Sugerencia</t>
    </r>
    <r>
      <rPr>
        <sz val="10"/>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</si>
  <si>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</si>
  <si>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</si>
  <si>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</si>
  <si>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</si>
  <si>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family val="2"/>
      </rP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t>
    </r>
    <r>
      <rPr>
        <sz val="10"/>
        <rFont val="Arial"/>
        <family val="2"/>
      </rPr>
      <t xml:space="preserve"> y </t>
    </r>
    <r>
      <rPr>
        <i/>
        <sz val="10"/>
        <rFont val="Arial"/>
        <family val="2"/>
      </rPr>
      <t>Phase</t>
    </r>
    <r>
      <rPr>
        <sz val="10"/>
        <rFont val="Arial"/>
        <family val="2"/>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</si>
  <si>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</si>
  <si>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</si>
  <si>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</si>
  <si>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</si>
  <si>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</si>
  <si>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</si>
  <si>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</si>
  <si>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</si>
  <si>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</si>
  <si>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</si>
  <si>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</si>
  <si>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</si>
  <si>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</si>
  <si>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</si>
  <si>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BIBLIOTECA</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</si>
  <si>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</si>
  <si>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</si>
  <si>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</si>
  <si>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</si>
  <si>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</si>
  <si>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</si>
  <si>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</si>
  <si>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</si>
  <si>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</si>
  <si>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</si>
  <si>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</si>
  <si>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</si>
  <si>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</si>
  <si>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</si>
  <si>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</si>
  <si>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</si>
  <si>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</si>
  <si>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</si>
  <si>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</si>
  <si>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</si>
  <si>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</si>
  <si>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</si>
  <si>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</si>
  <si>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</si>
  <si>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</si>
  <si>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</si>
  <si>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</si>
  <si>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</si>
  <si>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</si>
  <si>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</si>
  <si>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</si>
  <si>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</si>
  <si>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</si>
  <si>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</si>
  <si>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</si>
  <si>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</si>
  <si>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</si>
  <si>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</si>
  <si>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</si>
  <si>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</si>
  <si>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</si>
  <si>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</si>
  <si>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</si>
  <si>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</si>
  <si>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</si>
  <si>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</si>
  <si>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</si>
  <si>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</si>
  <si>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</si>
  <si>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</si>
  <si>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</si>
  <si>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</si>
  <si>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</si>
  <si>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</si>
  <si>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</si>
  <si>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</si>
  <si>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</si>
  <si>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</si>
  <si>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</si>
  <si>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</si>
  <si>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</si>
  <si>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</si>
  <si>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</si>
  <si>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</si>
  <si>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</si>
  <si>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</si>
  <si>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</si>
  <si>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</si>
  <si>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</si>
  <si>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</si>
  <si>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</si>
  <si>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</si>
  <si>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</si>
  <si>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</si>
  <si>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</si>
  <si>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</si>
  <si>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</si>
  <si>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</si>
  <si>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</si>
  <si>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</si>
  <si>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</si>
  <si>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</si>
  <si>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</si>
  <si>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</si>
  <si>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</si>
  <si>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</si>
  <si>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</si>
  <si>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</si>
  <si>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Víctor Hugo Hernandez Hoyos</t>
  </si>
  <si>
    <t>Maria de los Angeles Navarro Gutierrez</t>
  </si>
  <si>
    <t>Inicio de especifiación de requerimientos de la IEE, Introducción y parte del proposito</t>
  </si>
  <si>
    <t>Identificación de los casos de uso del proyecto, definició de ambito del sistema en el documento</t>
  </si>
  <si>
    <t>Descripción del producto, apartado 2.0-2.6 y requerimientos especificos 3.0-3.6</t>
  </si>
  <si>
    <t>Realización de la plantilla de casos de uso y prototipos. Especificación de requerimientos terminado</t>
  </si>
  <si>
    <t>Corrección del documento</t>
  </si>
  <si>
    <t>Verificación y correción de los últimos errores detectados</t>
  </si>
  <si>
    <t>Diagrama entidad relación</t>
  </si>
  <si>
    <t>Inicio de diagramas de robustez de la clase alumno y promoción</t>
  </si>
  <si>
    <t>Corrección de entidad relación y continuación de diagramas de robustez</t>
  </si>
  <si>
    <t>Diagrama de robustez alumno y promoción terminados</t>
  </si>
  <si>
    <t>Avance de interfaz de usuario Alumno</t>
  </si>
  <si>
    <t>Elavoración de la base de datos</t>
  </si>
  <si>
    <t>Corrección de diagramas de robustez</t>
  </si>
  <si>
    <t>Finalización de corrección de diagramas de robustez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</si>
</sst>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family val="2"/>
    </font>
    <font>
      <sz val="8"/>
      <name val="Arial"/>
      <family val="2"/>
    </font>
    <font>
      <sz val="6"/>
      <color rgb="FF222222"/>
      <name val="Arial"/>
      <family val="2"/>
    </font>
    <font>
      <sz val="9"/>
      <name val="Arial"/>
      <family val="2"/>
    </font>
    <font>
      <b/>
      <sz val="8"/>
      <name val="Arial"/>
      <family val="2"/>
    </font>
    <font>
      <b/>
      <sz val="9"/>
      <name val="Arial"/>
      <family val="2"/>
    </font>
    <font>
      <sz val="10"/>
      <color rgb="FF0070C0"/>
      <name val="Arial"/>
      <family val="2"/>
    </font>
    <font>
      <b/>
      <sz val="8"/>
      <color rgb="FF0070C0"/>
      <name val="Arial"/>
      <family val="2"/>
    </font>
    <font>
      <b/>
      <sz val="8"/>
      <color theme="1"/>
      <name val="Arial"/>
      <family val="2"/>
    </font>
    <font>
      <sz val="10"/>
      <name val="MS Sans Serif"/>
      <charset val="134"/>
    </font>
    <font>
      <i/>
      <sz val="10"/>
      <color rgb="FF0070C0"/>
      <name val="Arial"/>
      <family val="2"/>
    </font>
    <font>
      <b/>
      <sz val="12"/>
      <name val="Arial Black"/>
      <family val="2"/>
    </font>
    <font>
      <sz val="7"/>
      <name val="Arial"/>
      <family val="2"/>
    </font>
    <font>
      <b/>
      <i/>
      <sz val="10"/>
      <name val="Arial"/>
      <family val="2"/>
    </font>
    <font>
      <sz val="7"/>
      <name val="Small Fonts"/>
      <charset val="134"/>
    </font>
    <font>
      <b/>
      <i/>
      <sz val="16"/>
      <name val="Helv"/>
      <charset val="134"/>
    </font>
    <font>
      <i/>
      <sz val="10"/>
      <name val="Arial"/>
      <family val="2"/>
    </font>
    <font>
      <sz val="10"/>
      <name val="Arial"/>
      <family val="2"/>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5">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0" fontId="21" fillId="0" borderId="0" xfId="8"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4" fontId="21" fillId="0" borderId="0" xfId="8" applyNumberFormat="1" applyFont="1" applyFill="1" applyProtection="1">
      <protection locked="0"/>
    </xf>
    <xf numFmtId="167" fontId="2" fillId="0" borderId="0" xfId="8" applyNumberFormat="1" applyFont="1" applyFill="1" applyProtection="1">
      <protection locked="0"/>
    </xf>
    <xf numFmtId="167" fontId="21"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22"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K4" sqref="K4"/>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117</v>
      </c>
      <c r="E4" s="39"/>
      <c r="I4" s="33" t="s">
        <v>26</v>
      </c>
      <c r="K4" s="39">
        <v>42477</v>
      </c>
    </row>
    <row r="5" spans="1:15">
      <c r="C5" s="33" t="s">
        <v>27</v>
      </c>
      <c r="D5" s="39" t="s">
        <v>28</v>
      </c>
      <c r="E5" s="39"/>
      <c r="I5" s="33" t="s">
        <v>29</v>
      </c>
      <c r="K5" s="50">
        <v>1</v>
      </c>
    </row>
    <row r="6" spans="1:15">
      <c r="C6" s="33" t="s">
        <v>30</v>
      </c>
      <c r="D6" s="66" t="s">
        <v>118</v>
      </c>
      <c r="E6" s="39"/>
      <c r="I6" s="33" t="s">
        <v>31</v>
      </c>
      <c r="K6" s="50" t="s">
        <v>32</v>
      </c>
    </row>
    <row r="8" spans="1:15">
      <c r="E8" s="40" t="s">
        <v>33</v>
      </c>
      <c r="G8" s="41" t="s">
        <v>34</v>
      </c>
      <c r="I8" s="41" t="s">
        <v>35</v>
      </c>
      <c r="K8" s="41" t="s">
        <v>36</v>
      </c>
      <c r="M8" s="41" t="s">
        <v>37</v>
      </c>
      <c r="O8" s="41" t="s">
        <v>38</v>
      </c>
    </row>
    <row r="9" spans="1:15">
      <c r="C9" s="41" t="s">
        <v>39</v>
      </c>
      <c r="E9" s="42"/>
      <c r="F9" s="42"/>
    </row>
    <row r="10" spans="1:15">
      <c r="B10" s="43" t="s">
        <v>40</v>
      </c>
      <c r="C10" s="44" t="s">
        <v>41</v>
      </c>
      <c r="E10" s="42"/>
      <c r="F10" s="42"/>
      <c r="G10" s="45">
        <f>SUM(TimeLog!G2)</f>
        <v>33.000000000000043</v>
      </c>
      <c r="H10" s="42"/>
      <c r="I10" s="45"/>
      <c r="J10" s="42"/>
      <c r="K10" s="45"/>
      <c r="L10" s="51"/>
      <c r="M10" s="45"/>
      <c r="O10" s="52">
        <f>SUM(G10:M10)</f>
        <v>33.000000000000043</v>
      </c>
    </row>
    <row r="11" spans="1:15">
      <c r="B11" s="43" t="s">
        <v>40</v>
      </c>
      <c r="C11" s="44" t="s">
        <v>42</v>
      </c>
      <c r="E11" s="42"/>
      <c r="F11" s="42"/>
      <c r="G11" s="45"/>
      <c r="H11" s="42"/>
      <c r="I11" s="45">
        <f>SUM(TimeLog!G3:G11)</f>
        <v>1799.5833333333335</v>
      </c>
      <c r="J11" s="42"/>
      <c r="K11" s="45"/>
      <c r="L11" s="51"/>
      <c r="M11" s="45"/>
      <c r="O11" s="52">
        <f t="shared" ref="O11:O18" si="0">SUM(G11:M11)</f>
        <v>1799.5833333333335</v>
      </c>
    </row>
    <row r="12" spans="1:15">
      <c r="C12" s="46" t="s">
        <v>43</v>
      </c>
      <c r="E12" s="42"/>
      <c r="F12" s="42"/>
      <c r="G12" s="45"/>
      <c r="H12" s="42"/>
      <c r="I12" s="45"/>
      <c r="J12" s="42"/>
      <c r="K12" s="45"/>
      <c r="L12" s="51"/>
      <c r="M12" s="45"/>
      <c r="O12" s="52">
        <f t="shared" si="0"/>
        <v>0</v>
      </c>
    </row>
    <row r="13" spans="1:15">
      <c r="B13" s="43" t="s">
        <v>40</v>
      </c>
      <c r="C13" s="44" t="s">
        <v>44</v>
      </c>
      <c r="E13" s="42"/>
      <c r="F13" s="42"/>
      <c r="G13" s="45"/>
      <c r="H13" s="42"/>
      <c r="I13" s="45"/>
      <c r="J13" s="42"/>
      <c r="K13" s="45"/>
      <c r="L13" s="51"/>
      <c r="M13" s="45"/>
      <c r="O13" s="52">
        <f t="shared" si="0"/>
        <v>0</v>
      </c>
    </row>
    <row r="14" spans="1:15">
      <c r="C14" s="46" t="s">
        <v>45</v>
      </c>
      <c r="E14" s="42"/>
      <c r="F14" s="42"/>
      <c r="G14" s="45"/>
      <c r="H14" s="42"/>
      <c r="I14" s="45"/>
      <c r="J14" s="42"/>
      <c r="K14" s="45"/>
      <c r="L14" s="51"/>
      <c r="M14" s="45"/>
      <c r="O14" s="52">
        <f t="shared" si="0"/>
        <v>0</v>
      </c>
    </row>
    <row r="15" spans="1:15">
      <c r="C15" s="46" t="s">
        <v>46</v>
      </c>
      <c r="E15" s="42"/>
      <c r="F15" s="42"/>
      <c r="G15" s="45"/>
      <c r="H15" s="42"/>
      <c r="I15" s="45"/>
      <c r="J15" s="42"/>
      <c r="K15" s="45"/>
      <c r="L15" s="51"/>
      <c r="M15" s="45"/>
      <c r="O15" s="52">
        <f t="shared" si="0"/>
        <v>0</v>
      </c>
    </row>
    <row r="16" spans="1:15">
      <c r="B16" s="43" t="s">
        <v>40</v>
      </c>
      <c r="C16" s="44" t="s">
        <v>47</v>
      </c>
      <c r="E16" s="42"/>
      <c r="F16" s="42"/>
      <c r="G16" s="45"/>
      <c r="H16" s="42"/>
      <c r="I16" s="45"/>
      <c r="J16" s="42"/>
      <c r="K16" s="45"/>
      <c r="L16" s="51"/>
      <c r="M16" s="45"/>
      <c r="O16" s="52">
        <f t="shared" si="0"/>
        <v>0</v>
      </c>
    </row>
    <row r="17" spans="2:15">
      <c r="B17" s="43" t="s">
        <v>40</v>
      </c>
      <c r="C17" s="44" t="s">
        <v>48</v>
      </c>
      <c r="E17" s="42"/>
      <c r="F17" s="42"/>
      <c r="G17" s="45"/>
      <c r="H17" s="42"/>
      <c r="I17" s="45"/>
      <c r="J17" s="42"/>
      <c r="K17" s="45"/>
      <c r="L17" s="51"/>
      <c r="M17" s="45"/>
      <c r="O17" s="52">
        <f t="shared" si="0"/>
        <v>0</v>
      </c>
    </row>
    <row r="18" spans="2:15">
      <c r="C18" s="46" t="s">
        <v>49</v>
      </c>
      <c r="E18" s="42"/>
      <c r="F18" s="42"/>
      <c r="G18" s="45"/>
      <c r="H18" s="42"/>
      <c r="I18" s="45"/>
      <c r="J18" s="42"/>
      <c r="K18" s="45"/>
      <c r="L18" s="51"/>
      <c r="M18" s="45"/>
      <c r="O18" s="52">
        <f t="shared" si="0"/>
        <v>0</v>
      </c>
    </row>
    <row r="19" spans="2:15">
      <c r="C19" s="33" t="s">
        <v>50</v>
      </c>
      <c r="E19" s="45" t="s">
        <v>51</v>
      </c>
      <c r="F19" s="42"/>
      <c r="G19" s="47">
        <f t="shared" ref="G19:K19" si="1">SUM(G10:G18)</f>
        <v>33.000000000000043</v>
      </c>
      <c r="H19" s="42"/>
      <c r="I19" s="47">
        <f t="shared" si="1"/>
        <v>1799.5833333333335</v>
      </c>
      <c r="J19" s="42"/>
      <c r="K19" s="47">
        <f t="shared" si="1"/>
        <v>0</v>
      </c>
      <c r="L19" s="53"/>
      <c r="M19" s="47">
        <f>SUM(M10:M18)</f>
        <v>0</v>
      </c>
      <c r="O19" s="47">
        <f>SUM(O10:O18)</f>
        <v>1832.5833333333335</v>
      </c>
    </row>
    <row r="20" spans="2:15">
      <c r="G20" s="48"/>
      <c r="K20" s="54"/>
    </row>
    <row r="22" spans="2:15">
      <c r="B22" s="49" t="s">
        <v>52</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10" zoomScaleNormal="110" workbookViewId="0">
      <pane ySplit="1" topLeftCell="A2" activePane="bottomLeft" state="frozenSplit"/>
      <selection pane="bottomLeft" activeCell="E15" sqref="E15"/>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53</v>
      </c>
      <c r="C1" s="20" t="s">
        <v>26</v>
      </c>
      <c r="D1" s="21" t="s">
        <v>54</v>
      </c>
      <c r="E1" s="22" t="s">
        <v>55</v>
      </c>
      <c r="F1" s="21" t="s">
        <v>56</v>
      </c>
      <c r="G1" s="22" t="s">
        <v>57</v>
      </c>
      <c r="H1" s="19" t="s">
        <v>58</v>
      </c>
    </row>
    <row r="2" spans="1:8">
      <c r="A2" s="23">
        <v>1</v>
      </c>
      <c r="B2" s="24" t="s">
        <v>41</v>
      </c>
      <c r="C2" s="25">
        <v>42774</v>
      </c>
      <c r="D2" s="70">
        <v>0.6020833333333333</v>
      </c>
      <c r="E2" s="26"/>
      <c r="F2" s="70">
        <v>0.625</v>
      </c>
      <c r="G2" s="15">
        <v>33.000000000000043</v>
      </c>
      <c r="H2" s="67" t="s">
        <v>119</v>
      </c>
    </row>
    <row r="3" spans="1:8">
      <c r="A3" s="23">
        <v>1</v>
      </c>
      <c r="B3" s="24" t="s">
        <v>42</v>
      </c>
      <c r="C3" s="68">
        <v>42477</v>
      </c>
      <c r="D3" s="70">
        <v>0.70833333333333337</v>
      </c>
      <c r="E3" s="26"/>
      <c r="F3" s="71">
        <v>0.79166666666666663</v>
      </c>
      <c r="G3" s="15">
        <v>119.99999999999989</v>
      </c>
      <c r="H3" s="67" t="s">
        <v>120</v>
      </c>
    </row>
    <row r="4" spans="1:8">
      <c r="A4" s="23">
        <v>1</v>
      </c>
      <c r="B4" s="24" t="s">
        <v>42</v>
      </c>
      <c r="C4" s="25">
        <v>42780</v>
      </c>
      <c r="D4" s="75">
        <v>0.71253472222222225</v>
      </c>
      <c r="E4" s="26"/>
      <c r="F4" s="76">
        <v>0.78962962962962957</v>
      </c>
      <c r="G4" s="15">
        <v>111.01666666666654</v>
      </c>
      <c r="H4" s="67" t="s">
        <v>121</v>
      </c>
    </row>
    <row r="5" spans="1:8">
      <c r="A5" s="23">
        <v>1</v>
      </c>
      <c r="B5" s="24" t="s">
        <v>42</v>
      </c>
      <c r="C5" s="25">
        <v>42781</v>
      </c>
      <c r="D5" s="77">
        <v>0.85476851851851843</v>
      </c>
      <c r="E5" s="26">
        <v>1.25</v>
      </c>
      <c r="F5" s="78">
        <v>0.16105324074074073</v>
      </c>
      <c r="G5" s="15">
        <v>439.80000000000007</v>
      </c>
      <c r="H5" s="67" t="s">
        <v>122</v>
      </c>
    </row>
    <row r="6" spans="1:8">
      <c r="A6" s="23">
        <v>1</v>
      </c>
      <c r="B6" s="24" t="s">
        <v>42</v>
      </c>
      <c r="C6" s="25">
        <v>42785</v>
      </c>
      <c r="D6" s="79">
        <v>0.8872916666666667</v>
      </c>
      <c r="E6" s="26">
        <v>40</v>
      </c>
      <c r="F6" s="80">
        <v>0.13336805555555556</v>
      </c>
      <c r="G6" s="15">
        <v>314.34999999999991</v>
      </c>
      <c r="H6" s="67" t="s">
        <v>123</v>
      </c>
    </row>
    <row r="7" spans="1:8">
      <c r="A7" s="23">
        <v>1</v>
      </c>
      <c r="B7" s="24" t="s">
        <v>42</v>
      </c>
      <c r="C7" s="25">
        <v>42786</v>
      </c>
      <c r="D7" s="79">
        <v>0.93011574074074066</v>
      </c>
      <c r="E7" s="26">
        <v>30</v>
      </c>
      <c r="F7" s="80">
        <v>0.13846064814814815</v>
      </c>
      <c r="G7" s="15">
        <v>270.01666666666682</v>
      </c>
      <c r="H7" s="67" t="s">
        <v>124</v>
      </c>
    </row>
    <row r="8" spans="1:8">
      <c r="A8" s="23">
        <v>1</v>
      </c>
      <c r="B8" s="69" t="s">
        <v>43</v>
      </c>
      <c r="C8" s="68">
        <v>42788</v>
      </c>
      <c r="D8" s="81">
        <v>0.58817129629629628</v>
      </c>
      <c r="E8" s="26"/>
      <c r="F8" s="84">
        <v>0.62784722222222222</v>
      </c>
      <c r="G8" s="15">
        <v>57.133333333333368</v>
      </c>
      <c r="H8" s="15" t="s">
        <v>125</v>
      </c>
    </row>
    <row r="9" spans="1:8">
      <c r="A9" s="23">
        <v>1</v>
      </c>
      <c r="B9" s="69" t="s">
        <v>43</v>
      </c>
      <c r="C9" s="25">
        <v>42789</v>
      </c>
      <c r="D9" s="81">
        <v>0.7159375</v>
      </c>
      <c r="E9" s="26"/>
      <c r="F9" s="83">
        <v>0.78756944444444443</v>
      </c>
      <c r="G9" s="15">
        <v>103.14999999999998</v>
      </c>
      <c r="H9" s="15" t="s">
        <v>126</v>
      </c>
    </row>
    <row r="10" spans="1:8">
      <c r="A10" s="72">
        <v>1</v>
      </c>
      <c r="B10" s="73" t="s">
        <v>43</v>
      </c>
      <c r="C10" s="82">
        <v>42794</v>
      </c>
      <c r="D10" s="83">
        <v>0.86392361111111116</v>
      </c>
      <c r="F10" s="83">
        <v>4.4513888888888888E-2</v>
      </c>
      <c r="G10" s="15">
        <v>260.0499999999999</v>
      </c>
      <c r="H10" s="16" t="s">
        <v>127</v>
      </c>
    </row>
    <row r="11" spans="1:8">
      <c r="A11" s="23">
        <v>1</v>
      </c>
      <c r="B11" s="69" t="s">
        <v>43</v>
      </c>
      <c r="C11" s="68">
        <v>42795</v>
      </c>
      <c r="D11" s="81">
        <v>0.60418981481481482</v>
      </c>
      <c r="E11" s="26"/>
      <c r="F11" s="83">
        <v>0.69034722222222233</v>
      </c>
      <c r="G11" s="15">
        <v>124.06666666666682</v>
      </c>
      <c r="H11" s="15" t="s">
        <v>128</v>
      </c>
    </row>
    <row r="12" spans="1:8">
      <c r="A12" s="23">
        <v>1</v>
      </c>
      <c r="B12" s="69" t="s">
        <v>43</v>
      </c>
      <c r="C12" s="68">
        <v>42796</v>
      </c>
      <c r="D12" s="81">
        <v>0.71530092592592587</v>
      </c>
      <c r="E12" s="26"/>
      <c r="F12" s="83">
        <v>0.81534722222222233</v>
      </c>
      <c r="G12" s="15">
        <v>144.06666666666692</v>
      </c>
      <c r="H12" s="15" t="s">
        <v>130</v>
      </c>
    </row>
    <row r="13" spans="1:8">
      <c r="A13" s="23">
        <v>1</v>
      </c>
      <c r="B13" s="24" t="s">
        <v>43</v>
      </c>
      <c r="C13" s="68">
        <v>42796</v>
      </c>
      <c r="D13" s="81">
        <v>0.71530092592592587</v>
      </c>
      <c r="E13" s="26"/>
      <c r="F13" s="83">
        <v>0.81534722222222233</v>
      </c>
      <c r="G13" s="15">
        <v>144.06666666666692</v>
      </c>
      <c r="H13" s="15" t="s">
        <v>131</v>
      </c>
    </row>
    <row r="14" spans="1:8">
      <c r="A14" s="23">
        <v>1</v>
      </c>
      <c r="B14" s="24" t="s">
        <v>43</v>
      </c>
      <c r="C14" s="68">
        <v>42796</v>
      </c>
      <c r="D14" s="81">
        <v>0.59030092592592587</v>
      </c>
      <c r="E14" s="26"/>
      <c r="F14" s="83">
        <v>0.62784722222222222</v>
      </c>
      <c r="G14" s="15">
        <v>54.066666666666748</v>
      </c>
      <c r="H14" s="15" t="s">
        <v>132</v>
      </c>
    </row>
    <row r="15" spans="1:8">
      <c r="A15" s="23">
        <v>1</v>
      </c>
      <c r="B15" s="24" t="s">
        <v>44</v>
      </c>
      <c r="C15" s="25">
        <v>42808</v>
      </c>
      <c r="D15" s="81">
        <v>0.71903935185185175</v>
      </c>
      <c r="E15" s="26"/>
      <c r="F15" s="81">
        <v>0.83224537037037039</v>
      </c>
      <c r="G15" s="15">
        <v>163.01666666666682</v>
      </c>
      <c r="H15" s="16" t="s">
        <v>129</v>
      </c>
    </row>
    <row r="16" spans="1:8">
      <c r="A16" s="23">
        <v>1</v>
      </c>
      <c r="B16" s="24" t="s">
        <v>44</v>
      </c>
      <c r="C16" s="25">
        <v>42809</v>
      </c>
      <c r="D16" s="81">
        <v>0.59403935185185186</v>
      </c>
      <c r="E16" s="26"/>
      <c r="F16" s="81">
        <v>0.62391203703703701</v>
      </c>
      <c r="G16" s="15">
        <v>43.016666666666623</v>
      </c>
      <c r="H16" s="16" t="s">
        <v>129</v>
      </c>
    </row>
    <row r="17" spans="1:8">
      <c r="A17" s="23"/>
      <c r="B17" s="24"/>
      <c r="C17" s="25"/>
      <c r="D17" s="81"/>
      <c r="E17" s="26"/>
      <c r="F17" s="81"/>
    </row>
    <row r="19" spans="1:8">
      <c r="B19" s="73"/>
      <c r="H19" s="74"/>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59</v>
      </c>
      <c r="C1" s="4" t="s">
        <v>60</v>
      </c>
      <c r="D1" s="5"/>
      <c r="E1" s="4" t="s">
        <v>61</v>
      </c>
      <c r="F1" s="5"/>
      <c r="G1" s="4" t="s">
        <v>62</v>
      </c>
      <c r="H1" s="5"/>
      <c r="I1" s="4" t="s">
        <v>63</v>
      </c>
      <c r="J1" s="5"/>
      <c r="K1" s="4" t="s">
        <v>64</v>
      </c>
      <c r="L1" s="5"/>
      <c r="M1" s="4" t="s">
        <v>65</v>
      </c>
      <c r="N1" s="5"/>
      <c r="O1" s="4" t="s">
        <v>66</v>
      </c>
      <c r="P1" s="5"/>
      <c r="Q1" s="4" t="s">
        <v>67</v>
      </c>
      <c r="R1" s="5"/>
      <c r="S1" s="4" t="s">
        <v>68</v>
      </c>
      <c r="T1" s="5"/>
      <c r="U1" s="4"/>
      <c r="V1" s="5"/>
      <c r="W1" s="7" t="s">
        <v>69</v>
      </c>
      <c r="X1" s="7" t="s">
        <v>70</v>
      </c>
      <c r="Z1" s="9" t="s">
        <v>71</v>
      </c>
      <c r="AA1" s="9" t="s">
        <v>71</v>
      </c>
      <c r="AC1" s="9" t="s">
        <v>72</v>
      </c>
      <c r="AE1" s="9" t="s">
        <v>73</v>
      </c>
    </row>
    <row r="2" spans="1:31">
      <c r="A2" s="3">
        <v>1</v>
      </c>
      <c r="B2" s="3" t="s">
        <v>74</v>
      </c>
      <c r="C2" s="3" t="s">
        <v>63</v>
      </c>
      <c r="E2" s="3" t="s">
        <v>63</v>
      </c>
      <c r="G2" s="3" t="s">
        <v>41</v>
      </c>
      <c r="I2" s="3" t="s">
        <v>41</v>
      </c>
      <c r="K2" s="3" t="s">
        <v>41</v>
      </c>
      <c r="M2" s="3" t="s">
        <v>41</v>
      </c>
      <c r="O2" s="3" t="s">
        <v>41</v>
      </c>
      <c r="Q2" s="3" t="s">
        <v>41</v>
      </c>
      <c r="S2" s="3" t="s">
        <v>41</v>
      </c>
      <c r="W2" s="8">
        <v>10</v>
      </c>
      <c r="X2" s="8" t="s">
        <v>75</v>
      </c>
      <c r="Z2" s="3" t="s">
        <v>76</v>
      </c>
      <c r="AA2" s="3" t="s">
        <v>77</v>
      </c>
      <c r="AC2" s="3" t="s">
        <v>78</v>
      </c>
      <c r="AE2" s="3" t="s">
        <v>79</v>
      </c>
    </row>
    <row r="3" spans="1:31">
      <c r="A3" s="3">
        <v>2</v>
      </c>
      <c r="B3" s="3" t="s">
        <v>80</v>
      </c>
      <c r="C3" s="3" t="s">
        <v>64</v>
      </c>
      <c r="E3" s="3" t="s">
        <v>64</v>
      </c>
      <c r="G3" s="3" t="s">
        <v>42</v>
      </c>
      <c r="I3" s="3" t="s">
        <v>81</v>
      </c>
      <c r="K3" s="3" t="s">
        <v>81</v>
      </c>
      <c r="M3" s="3" t="s">
        <v>81</v>
      </c>
      <c r="O3" s="3" t="s">
        <v>81</v>
      </c>
      <c r="Q3" s="3" t="s">
        <v>81</v>
      </c>
      <c r="S3" s="3" t="s">
        <v>81</v>
      </c>
      <c r="W3" s="8">
        <v>20</v>
      </c>
      <c r="X3" s="8" t="s">
        <v>82</v>
      </c>
      <c r="Z3" s="3" t="s">
        <v>83</v>
      </c>
      <c r="AA3" s="3" t="s">
        <v>84</v>
      </c>
      <c r="AC3" s="3" t="s">
        <v>85</v>
      </c>
      <c r="AE3" s="3" t="s">
        <v>86</v>
      </c>
    </row>
    <row r="4" spans="1:31">
      <c r="A4" s="3">
        <v>3</v>
      </c>
      <c r="B4" s="3" t="s">
        <v>87</v>
      </c>
      <c r="C4" s="3" t="s">
        <v>65</v>
      </c>
      <c r="E4" s="3" t="s">
        <v>65</v>
      </c>
      <c r="G4" s="3" t="s">
        <v>43</v>
      </c>
      <c r="I4" s="3" t="s">
        <v>88</v>
      </c>
      <c r="K4" s="3" t="s">
        <v>88</v>
      </c>
      <c r="M4" s="3" t="s">
        <v>88</v>
      </c>
      <c r="O4" s="3" t="s">
        <v>88</v>
      </c>
      <c r="Q4" s="3" t="s">
        <v>89</v>
      </c>
      <c r="S4" s="3" t="s">
        <v>89</v>
      </c>
      <c r="W4" s="8">
        <v>30</v>
      </c>
      <c r="X4" s="8" t="s">
        <v>90</v>
      </c>
      <c r="Z4" s="3" t="s">
        <v>91</v>
      </c>
      <c r="AA4" s="3" t="s">
        <v>92</v>
      </c>
      <c r="AC4" s="3" t="s">
        <v>93</v>
      </c>
      <c r="AE4" s="3" t="s">
        <v>76</v>
      </c>
    </row>
    <row r="5" spans="1:31">
      <c r="A5" s="3">
        <v>4</v>
      </c>
      <c r="B5" s="3" t="s">
        <v>94</v>
      </c>
      <c r="C5" s="3" t="s">
        <v>66</v>
      </c>
      <c r="E5" s="3" t="s">
        <v>66</v>
      </c>
      <c r="G5" s="3" t="s">
        <v>44</v>
      </c>
      <c r="I5" s="3" t="s">
        <v>95</v>
      </c>
      <c r="K5" s="3" t="s">
        <v>95</v>
      </c>
      <c r="M5" s="3" t="s">
        <v>95</v>
      </c>
      <c r="O5" s="3" t="s">
        <v>95</v>
      </c>
      <c r="Q5" s="3" t="s">
        <v>88</v>
      </c>
      <c r="S5" s="3" t="s">
        <v>88</v>
      </c>
      <c r="W5" s="8">
        <v>40</v>
      </c>
      <c r="X5" s="8" t="s">
        <v>59</v>
      </c>
      <c r="Z5" s="3" t="s">
        <v>96</v>
      </c>
      <c r="AA5" s="3" t="s">
        <v>97</v>
      </c>
      <c r="AC5" s="3" t="s">
        <v>96</v>
      </c>
      <c r="AE5" s="3" t="s">
        <v>83</v>
      </c>
    </row>
    <row r="6" spans="1:31">
      <c r="A6" s="3">
        <v>5</v>
      </c>
      <c r="B6" s="3" t="s">
        <v>98</v>
      </c>
      <c r="C6" s="3" t="s">
        <v>67</v>
      </c>
      <c r="E6" s="3" t="s">
        <v>67</v>
      </c>
      <c r="G6" s="3" t="s">
        <v>45</v>
      </c>
      <c r="I6" s="3" t="s">
        <v>99</v>
      </c>
      <c r="K6" s="3" t="s">
        <v>99</v>
      </c>
      <c r="M6" s="3" t="s">
        <v>99</v>
      </c>
      <c r="O6" s="3" t="s">
        <v>99</v>
      </c>
      <c r="Q6" s="3" t="s">
        <v>100</v>
      </c>
      <c r="S6" s="3" t="s">
        <v>100</v>
      </c>
      <c r="W6" s="8">
        <v>50</v>
      </c>
      <c r="X6" s="8" t="s">
        <v>101</v>
      </c>
      <c r="Z6" s="3" t="s">
        <v>85</v>
      </c>
      <c r="AA6" s="3" t="s">
        <v>102</v>
      </c>
      <c r="AC6" s="3" t="s">
        <v>103</v>
      </c>
    </row>
    <row r="7" spans="1:31">
      <c r="A7" s="3">
        <v>6</v>
      </c>
      <c r="B7" s="3" t="s">
        <v>104</v>
      </c>
      <c r="C7" s="3" t="s">
        <v>68</v>
      </c>
      <c r="E7" s="3" t="s">
        <v>68</v>
      </c>
      <c r="G7" s="3" t="s">
        <v>46</v>
      </c>
      <c r="I7" s="3" t="s">
        <v>105</v>
      </c>
      <c r="K7" s="3" t="s">
        <v>105</v>
      </c>
      <c r="M7" s="3" t="s">
        <v>105</v>
      </c>
      <c r="O7" s="3" t="s">
        <v>105</v>
      </c>
      <c r="Q7" s="3" t="s">
        <v>95</v>
      </c>
      <c r="S7" s="3" t="s">
        <v>95</v>
      </c>
      <c r="W7" s="8">
        <v>60</v>
      </c>
      <c r="X7" s="8" t="s">
        <v>106</v>
      </c>
      <c r="Z7" s="3" t="s">
        <v>107</v>
      </c>
      <c r="AA7" s="3" t="s">
        <v>108</v>
      </c>
    </row>
    <row r="8" spans="1:31">
      <c r="A8" s="3">
        <v>7</v>
      </c>
      <c r="B8" s="3" t="s">
        <v>109</v>
      </c>
      <c r="C8" s="3" t="s">
        <v>68</v>
      </c>
      <c r="G8" s="3" t="s">
        <v>47</v>
      </c>
      <c r="Q8" s="3" t="s">
        <v>99</v>
      </c>
      <c r="S8" s="3" t="s">
        <v>99</v>
      </c>
      <c r="W8" s="8">
        <v>70</v>
      </c>
      <c r="X8" s="8" t="s">
        <v>84</v>
      </c>
    </row>
    <row r="9" spans="1:31">
      <c r="A9" s="3">
        <v>8</v>
      </c>
      <c r="B9" s="3" t="s">
        <v>110</v>
      </c>
      <c r="C9" s="3" t="s">
        <v>68</v>
      </c>
      <c r="G9" s="3" t="s">
        <v>48</v>
      </c>
      <c r="Q9" s="3" t="s">
        <v>105</v>
      </c>
      <c r="S9" s="3" t="s">
        <v>105</v>
      </c>
      <c r="W9" s="8">
        <v>80</v>
      </c>
      <c r="X9" s="8" t="s">
        <v>111</v>
      </c>
    </row>
    <row r="10" spans="1:31">
      <c r="G10" s="3" t="s">
        <v>49</v>
      </c>
      <c r="W10" s="8">
        <v>90</v>
      </c>
      <c r="X10" s="8" t="s">
        <v>112</v>
      </c>
    </row>
    <row r="11" spans="1:31">
      <c r="W11" s="8">
        <v>100</v>
      </c>
      <c r="X11" s="8" t="s">
        <v>113</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114</v>
      </c>
      <c r="J3" s="1" t="s">
        <v>115</v>
      </c>
    </row>
    <row r="5" spans="1:10">
      <c r="A5" s="2"/>
      <c r="B5" s="2"/>
    </row>
    <row r="21" spans="1:1">
      <c r="A21" s="1" t="s">
        <v>116</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Rodrigo Ruiz Salmorán</cp:lastModifiedBy>
  <cp:lastPrinted>2016-02-08T14:42:00Z</cp:lastPrinted>
  <dcterms:created xsi:type="dcterms:W3CDTF">1997-09-28T05:27:00Z</dcterms:created>
  <dcterms:modified xsi:type="dcterms:W3CDTF">2017-03-15T21:29:18Z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